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ork_fish_Sim_GTG\fishSimGTG\"/>
    </mc:Choice>
  </mc:AlternateContent>
  <xr:revisionPtr revIDLastSave="0" documentId="13_ncr:1_{F8BBE34D-D892-473C-8A95-F6B1EB280F2D}" xr6:coauthVersionLast="47" xr6:coauthVersionMax="47" xr10:uidLastSave="{00000000-0000-0000-0000-000000000000}"/>
  <bookViews>
    <workbookView xWindow="38280" yWindow="-120" windowWidth="29040" windowHeight="15720" xr2:uid="{8FBA28DA-3414-4E62-9A09-FB3B4CF77C5E}"/>
  </bookViews>
  <sheets>
    <sheet name="multifleet_all_ex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" i="1"/>
  <c r="AJ25" i="1"/>
  <c r="AH9" i="1"/>
  <c r="AI9" i="1"/>
  <c r="AH13" i="1"/>
  <c r="AI13" i="1"/>
  <c r="AH17" i="1"/>
  <c r="AI17" i="1"/>
  <c r="AH21" i="1"/>
  <c r="AI21" i="1"/>
  <c r="AH25" i="1"/>
  <c r="AI25" i="1"/>
  <c r="AI5" i="1"/>
  <c r="AH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" i="1"/>
  <c r="N6" i="1"/>
  <c r="N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N3" i="1"/>
  <c r="N4" i="1"/>
  <c r="N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</calcChain>
</file>

<file path=xl/sharedStrings.xml><?xml version="1.0" encoding="utf-8"?>
<sst xmlns="http://schemas.openxmlformats.org/spreadsheetml/2006/main" count="112" uniqueCount="57">
  <si>
    <t>Example</t>
  </si>
  <si>
    <t>Method</t>
  </si>
  <si>
    <t>Feq</t>
  </si>
  <si>
    <t>D</t>
  </si>
  <si>
    <t>SPR</t>
  </si>
  <si>
    <t>SB</t>
  </si>
  <si>
    <t>catchB</t>
  </si>
  <si>
    <t>YPR</t>
  </si>
  <si>
    <t>nfleets</t>
  </si>
  <si>
    <t>allocation_type</t>
  </si>
  <si>
    <t>actual_catch_prop_fleet_1</t>
  </si>
  <si>
    <t>actual_catch_prop_fleet_2</t>
  </si>
  <si>
    <t>actual_catch_prop_fleet_3</t>
  </si>
  <si>
    <t>Single_Fleet</t>
  </si>
  <si>
    <t>single_fleet</t>
  </si>
  <si>
    <t>Multi_Original</t>
  </si>
  <si>
    <t>effort</t>
  </si>
  <si>
    <t>Multi2_Effort</t>
  </si>
  <si>
    <t>Multi2_Catch</t>
  </si>
  <si>
    <t>catch</t>
  </si>
  <si>
    <t>Example1_IdenticalFleets_Fixed (doFit=FALSE)</t>
  </si>
  <si>
    <t>Example2_IdenticalFleets_FitDepletion (doFit=TRUE)</t>
  </si>
  <si>
    <t>Example3_IdenticalFleets_DiffProps (doFit=TRUE)</t>
  </si>
  <si>
    <t>Example4_DiffSelectivity_50-50 (doFit=TRUE)</t>
  </si>
  <si>
    <t>Example5_DiffSelectivity_70-30 (doFit=TRUE)</t>
  </si>
  <si>
    <t>Example6_ThreeFleets_DiffSel (doFit=TRUE)</t>
  </si>
  <si>
    <t>Example1_IdenticalFleets_Fixed (doFit=FALSE) (solveD)</t>
  </si>
  <si>
    <t>Example2_IdenticalFleets_FitDepletion (doFit=TRUE) (solveD)</t>
  </si>
  <si>
    <t>Example3_IdenticalFleets_DiffProps (doFit=TRUE) (solveD)</t>
  </si>
  <si>
    <t>Example4_DiffSelectivity_50-50 (doFit=TRUE) (solveD)</t>
  </si>
  <si>
    <t>Example5_DiffSelectivity_70-30 (doFit=TRUE) (solveD)</t>
  </si>
  <si>
    <t>Example6_ThreeFleets_DiffSel (doFit=TRUE) (solveD)</t>
  </si>
  <si>
    <t>F_1</t>
  </si>
  <si>
    <t>F_2</t>
  </si>
  <si>
    <t>F_3</t>
  </si>
  <si>
    <t>Ftot</t>
  </si>
  <si>
    <t>Tot</t>
  </si>
  <si>
    <t>catchB_1</t>
  </si>
  <si>
    <t>catchB_2</t>
  </si>
  <si>
    <t>catchB_3</t>
  </si>
  <si>
    <t>final_eff_prop1</t>
  </si>
  <si>
    <t>final_eff_prop2</t>
  </si>
  <si>
    <t>final_eff_prop3</t>
  </si>
  <si>
    <t>input_prop_1</t>
  </si>
  <si>
    <t>input_prop_2</t>
  </si>
  <si>
    <t>input_prop_3</t>
  </si>
  <si>
    <t>target_ct_prop1</t>
  </si>
  <si>
    <t>target_ct_prop2</t>
  </si>
  <si>
    <t>target_ct_prop3</t>
  </si>
  <si>
    <t>Testing -fleet1</t>
  </si>
  <si>
    <t>Testing -fleet3</t>
  </si>
  <si>
    <t>Testing -fleet2</t>
  </si>
  <si>
    <t>older appraoch - compare with yellow</t>
  </si>
  <si>
    <t>Fleet 1</t>
  </si>
  <si>
    <t>Fleet2</t>
  </si>
  <si>
    <t xml:space="preserve"> Fleet3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</si>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</sst>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4" fillId="0" borderId="0" xfId="0" applyFo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0" fillId="33" borderId="0" xfId="0" applyFill="1"/>
    <xf numFmtId="0" fontId="0" fillId="0" borderId="0" xfId="0" applyAlignment="1">
      <alignment vertical="top"/>
    </xf>
    <xf numFmtId="0" fontId="6" fillId="2" borderId="0" xfId="6" applyAlignment="1">
      <alignment wrapText="1"/>
    </xf>
    <xf numFmtId="0" fontId="0" fillId="34" borderId="0" xfId="0" applyFill="1" applyAlignment="1">
      <alignment vertical="top" wrapText="1"/>
    </xf>
    <xf numFmtId="0" fontId="0" fillId="34" borderId="0" xfId="0" applyFill="1" applyAlignment="1">
      <alignment wrapText="1"/>
    </xf>
    <xf numFmtId="2" fontId="14" fillId="0" borderId="0" xfId="0" applyNumberFormat="1" applyFont="1"/>
    <xf numFmtId="164" fontId="14" fillId="0" borderId="0" xfId="0" applyNumberFormat="1" applyFont="1"/>
    <xf numFmtId="0" fontId="0" fillId="35" borderId="0" xfId="0" applyFill="1" applyAlignment="1">
      <alignment wrapText="1"/>
    </xf>
    <xf numFmtId="0" fontId="0" fillId="35" borderId="0" xfId="0" applyFill="1"/>
    <xf numFmtId="0" fontId="0" fillId="37" borderId="0" xfId="0" applyFill="1"/>
    <xf numFmtId="0" fontId="0" fillId="36" borderId="0" xfId="0" applyFill="1" applyAlignment="1">
      <alignment horizontal="center"/>
    </xf>
    <xf numFmtId="0" fontId="0" fillId="38" borderId="0" xfId="0" applyFill="1"/>
    <xf numFmtId="0" fontId="14" fillId="38" borderId="0" xfId="0" applyFont="1" applyFill="1"/>
    <xf numFmtId="0" fontId="14" fillId="37" borderId="0" xfId="0" applyFont="1" applyFill="1"/>
    <xf numFmtId="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26</xdr:row>
      <xdr:rowOff>28574</xdr:rowOff>
    </xdr:from>
    <xdr:to>
      <xdr:col>22</xdr:col>
      <xdr:colOff>66675</xdr:colOff>
      <xdr:row>34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3D41C7-F5CE-759A-C449-C2196935F70D}"/>
            </a:ext>
          </a:extLst>
        </xdr:cNvPr>
        <xdr:cNvSpPr txBox="1"/>
      </xdr:nvSpPr>
      <xdr:spPr>
        <a:xfrm>
          <a:off x="11353800" y="4914899"/>
          <a:ext cx="5076825" cy="1543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Input prop: For effort allocation ( the initial fucntion)</a:t>
          </a:r>
        </a:p>
        <a:p>
          <a:endParaRPr lang="en-CA" sz="1100"/>
        </a:p>
        <a:p>
          <a:r>
            <a:rPr lang="en-CA" sz="1100"/>
            <a:t>In the new fucntion with the iterative process</a:t>
          </a:r>
        </a:p>
        <a:p>
          <a:r>
            <a:rPr lang="en-CA" sz="1100"/>
            <a:t>target_ct_prop: The catch proportions I want (</a:t>
          </a:r>
          <a:r>
            <a:rPr lang="en-CA"/>
            <a:t>are the same thing for catch allocation)</a:t>
          </a:r>
        </a:p>
        <a:p>
          <a:endParaRPr lang="en-CA" sz="1100"/>
        </a:p>
        <a:p>
          <a:r>
            <a:rPr lang="en-CA" sz="1100"/>
            <a:t>The catch proportion I want to achieve (argument in the fucntion = fleet proportions)</a:t>
          </a:r>
        </a:p>
        <a:p>
          <a:r>
            <a:rPr lang="en-CA" sz="1100"/>
            <a:t>For example: </a:t>
          </a:r>
          <a:r>
            <a:rPr lang="en-CA"/>
            <a:t>fleet_proportions = c(0.7, 0.3) means I want 70% of total catch from Fleet 1, 30% from Fleet 2</a:t>
          </a:r>
          <a:endParaRPr lang="en-CA" sz="1100"/>
        </a:p>
        <a:p>
          <a:endParaRPr lang="en-CA" sz="1100"/>
        </a:p>
      </xdr:txBody>
    </xdr:sp>
    <xdr:clientData/>
  </xdr:twoCellAnchor>
  <xdr:twoCellAnchor>
    <xdr:from>
      <xdr:col>25</xdr:col>
      <xdr:colOff>409575</xdr:colOff>
      <xdr:row>25</xdr:row>
      <xdr:rowOff>76200</xdr:rowOff>
    </xdr:from>
    <xdr:to>
      <xdr:col>29</xdr:col>
      <xdr:colOff>114300</xdr:colOff>
      <xdr:row>41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893558-3927-4F99-9FF2-9FE444A4786F}"/>
            </a:ext>
          </a:extLst>
        </xdr:cNvPr>
        <xdr:cNvSpPr txBox="1"/>
      </xdr:nvSpPr>
      <xdr:spPr>
        <a:xfrm>
          <a:off x="18802350" y="4781550"/>
          <a:ext cx="2409825" cy="298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CA" sz="1100"/>
        </a:p>
        <a:p>
          <a:r>
            <a:rPr lang="en-CA" sz="1100"/>
            <a:t>Final effort proportions</a:t>
          </a:r>
        </a:p>
        <a:p>
          <a:r>
            <a:rPr lang="en-CA"/>
            <a:t>The effort proportions needed to achieve the target catch proportions.</a:t>
          </a:r>
        </a:p>
        <a:p>
          <a:endParaRPr lang="en-CA" sz="1100"/>
        </a:p>
        <a:p>
          <a:r>
            <a:rPr lang="en-CA"/>
            <a:t>Found through iterative optimization in the catch allocation method (when  allocation type is "catch")</a:t>
          </a:r>
        </a:p>
        <a:p>
          <a:endParaRPr lang="en-CA"/>
        </a:p>
        <a:p>
          <a:r>
            <a:rPr lang="en-CA"/>
            <a:t>When allocation type = "effort"</a:t>
          </a:r>
          <a:r>
            <a:rPr lang="en-CA" baseline="0"/>
            <a:t> or when  using the older fucntions,  the input effort = finall effort propotions</a:t>
          </a:r>
          <a:endParaRPr lang="en-CA"/>
        </a:p>
        <a:p>
          <a:endParaRPr lang="en-CA" sz="1100"/>
        </a:p>
        <a:p>
          <a:endParaRPr lang="en-CA" sz="1100"/>
        </a:p>
        <a:p>
          <a:endParaRPr lang="en-CA" sz="1100"/>
        </a:p>
      </xdr:txBody>
    </xdr:sp>
    <xdr:clientData/>
  </xdr:twoCellAnchor>
  <xdr:twoCellAnchor>
    <xdr:from>
      <xdr:col>29</xdr:col>
      <xdr:colOff>457200</xdr:colOff>
      <xdr:row>25</xdr:row>
      <xdr:rowOff>95250</xdr:rowOff>
    </xdr:from>
    <xdr:to>
      <xdr:col>32</xdr:col>
      <xdr:colOff>342900</xdr:colOff>
      <xdr:row>32</xdr:row>
      <xdr:rowOff>114299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EEE26A-BD46-4258-B4DA-61B62DDF4BE9}"/>
            </a:ext>
          </a:extLst>
        </xdr:cNvPr>
        <xdr:cNvSpPr txBox="1"/>
      </xdr:nvSpPr>
      <xdr:spPr>
        <a:xfrm>
          <a:off x="18707100" y="4981575"/>
          <a:ext cx="2409825" cy="1285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1"/>
            <a:t>Actual Catch Proportions</a:t>
          </a:r>
        </a:p>
        <a:p>
          <a:r>
            <a:rPr lang="en-CA"/>
            <a:t>The catch proportions actually achieved after optimization</a:t>
          </a:r>
        </a:p>
        <a:p>
          <a:endParaRPr lang="en-CA" sz="1100"/>
        </a:p>
        <a:p>
          <a:r>
            <a:rPr lang="en-CA"/>
            <a:t>Should be very close to the target</a:t>
          </a:r>
          <a:endParaRPr lang="en-CA" sz="1100"/>
        </a:p>
      </xdr:txBody>
    </xdr:sp>
    <xdr:clientData/>
  </xdr:twoCellAnchor>
  <xdr:twoCellAnchor>
    <xdr:from>
      <xdr:col>1</xdr:col>
      <xdr:colOff>447675</xdr:colOff>
      <xdr:row>28</xdr:row>
      <xdr:rowOff>38101</xdr:rowOff>
    </xdr:from>
    <xdr:to>
      <xdr:col>9</xdr:col>
      <xdr:colOff>752475</xdr:colOff>
      <xdr:row>33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18267A-5455-25D5-EB78-A30E3A68E48A}"/>
            </a:ext>
          </a:extLst>
        </xdr:cNvPr>
        <xdr:cNvSpPr txBox="1"/>
      </xdr:nvSpPr>
      <xdr:spPr>
        <a:xfrm>
          <a:off x="4229100" y="5467351"/>
          <a:ext cx="584835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1"/>
            <a:t>Expected Results:</a:t>
          </a:r>
        </a:p>
        <a:p>
          <a:r>
            <a:rPr lang="en-CA" b="1"/>
            <a:t>Identical fleets + 50:50 target</a:t>
          </a:r>
          <a:r>
            <a:rPr lang="en-CA"/>
            <a:t>: Target = Final effort (truly the same)</a:t>
          </a:r>
        </a:p>
        <a:p>
          <a:r>
            <a:rPr lang="en-CA" b="1"/>
            <a:t>Different fleets + 50:50 target</a:t>
          </a:r>
          <a:r>
            <a:rPr lang="en-CA"/>
            <a:t>: Small difference (hidden by rounding)</a:t>
          </a:r>
        </a:p>
        <a:p>
          <a:r>
            <a:rPr lang="en-CA" b="1"/>
            <a:t>Different fleets + 70:30 target</a:t>
          </a:r>
          <a:r>
            <a:rPr lang="en-CA"/>
            <a:t>: Larger difference (visible even with rounding)</a:t>
          </a: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763C-AE40-434A-9B04-4223C14384B0}">
  <dimension ref="A1:AR27"/>
  <sheetViews>
    <sheetView tabSelected="1" workbookViewId="0">
      <selection activeCell="A31" sqref="A31"/>
    </sheetView>
  </sheetViews>
  <sheetFormatPr defaultRowHeight="14.25" x14ac:dyDescent="0.45"/>
  <cols>
    <col min="1" max="1" width="52.9296875" customWidth="1"/>
    <col min="2" max="2" width="12.59765625" bestFit="1" customWidth="1"/>
    <col min="3" max="5" width="9.1328125" bestFit="1" customWidth="1"/>
    <col min="6" max="6" width="9.73046875" bestFit="1" customWidth="1"/>
    <col min="7" max="9" width="9.1328125" bestFit="1" customWidth="1"/>
    <col min="10" max="10" width="13.53125" bestFit="1" customWidth="1"/>
    <col min="11" max="12" width="6.73046875" bestFit="1" customWidth="1"/>
    <col min="13" max="13" width="5.265625" bestFit="1" customWidth="1"/>
    <col min="14" max="14" width="5.265625" customWidth="1"/>
    <col min="15" max="15" width="8.3984375" customWidth="1"/>
    <col min="16" max="16" width="8.265625" customWidth="1"/>
    <col min="17" max="17" width="7.59765625" customWidth="1"/>
    <col min="18" max="18" width="5.1328125" customWidth="1"/>
    <col min="19" max="19" width="7.796875" customWidth="1"/>
    <col min="20" max="20" width="7.53125" customWidth="1"/>
    <col min="21" max="21" width="10.86328125" customWidth="1"/>
    <col min="22" max="22" width="7.265625" customWidth="1"/>
    <col min="23" max="24" width="8.73046875" bestFit="1" customWidth="1"/>
    <col min="25" max="25" width="8.19921875" bestFit="1" customWidth="1"/>
    <col min="26" max="26" width="12.59765625" customWidth="1"/>
    <col min="27" max="28" width="8.46484375" customWidth="1"/>
    <col min="29" max="29" width="8.06640625" customWidth="1"/>
    <col min="30" max="31" width="11.796875" customWidth="1"/>
    <col min="32" max="32" width="12.73046875" customWidth="1"/>
    <col min="39" max="39" width="8.796875" customWidth="1"/>
  </cols>
  <sheetData>
    <row r="1" spans="1:44" ht="28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  <c r="M1" t="s">
        <v>34</v>
      </c>
      <c r="N1" t="s">
        <v>35</v>
      </c>
      <c r="O1" s="10" t="s">
        <v>43</v>
      </c>
      <c r="P1" s="11" t="s">
        <v>44</v>
      </c>
      <c r="Q1" s="11" t="s">
        <v>45</v>
      </c>
      <c r="R1" s="8" t="s">
        <v>36</v>
      </c>
      <c r="S1" s="10" t="s">
        <v>46</v>
      </c>
      <c r="T1" s="10" t="s">
        <v>47</v>
      </c>
      <c r="U1" s="10" t="s">
        <v>48</v>
      </c>
      <c r="V1" s="8" t="s">
        <v>36</v>
      </c>
      <c r="W1" s="16" t="s">
        <v>37</v>
      </c>
      <c r="X1" s="16" t="s">
        <v>38</v>
      </c>
      <c r="Y1" s="16" t="s">
        <v>39</v>
      </c>
      <c r="Z1" s="7" t="s">
        <v>36</v>
      </c>
      <c r="AA1" s="9" t="s">
        <v>40</v>
      </c>
      <c r="AB1" s="9" t="s">
        <v>41</v>
      </c>
      <c r="AC1" s="9" t="s">
        <v>42</v>
      </c>
      <c r="AD1" s="14" t="s">
        <v>10</v>
      </c>
      <c r="AE1" s="14" t="s">
        <v>11</v>
      </c>
      <c r="AF1" s="14" t="s">
        <v>12</v>
      </c>
      <c r="AH1" s="14" t="s">
        <v>49</v>
      </c>
      <c r="AI1" s="14" t="s">
        <v>51</v>
      </c>
      <c r="AJ1" s="14" t="s">
        <v>50</v>
      </c>
      <c r="AK1" s="15"/>
      <c r="AM1" s="17" t="s">
        <v>52</v>
      </c>
      <c r="AN1" s="17"/>
      <c r="AO1" s="17"/>
      <c r="AP1" s="17"/>
      <c r="AQ1" s="17"/>
      <c r="AR1" s="17"/>
    </row>
    <row r="2" spans="1:44" x14ac:dyDescent="0.45">
      <c r="A2" s="1" t="s">
        <v>26</v>
      </c>
      <c r="B2" t="s">
        <v>13</v>
      </c>
      <c r="C2">
        <v>0.2</v>
      </c>
      <c r="D2" s="3">
        <v>3.5000000000000003E-2</v>
      </c>
      <c r="E2">
        <v>0.24</v>
      </c>
      <c r="F2" s="2">
        <v>276879.59999999998</v>
      </c>
      <c r="G2" s="2">
        <v>92871.8</v>
      </c>
      <c r="H2" s="5">
        <v>64.344999999999999</v>
      </c>
      <c r="I2" s="6">
        <v>1</v>
      </c>
      <c r="J2" t="s">
        <v>14</v>
      </c>
      <c r="K2">
        <v>0.2</v>
      </c>
      <c r="N2">
        <f>SUM(K2:M2)</f>
        <v>0.2</v>
      </c>
      <c r="O2">
        <v>1</v>
      </c>
      <c r="R2">
        <f>SUM(O2:Q2)</f>
        <v>1</v>
      </c>
      <c r="V2">
        <f>SUM(S2:U2)</f>
        <v>0</v>
      </c>
      <c r="W2" s="16">
        <v>92871.8</v>
      </c>
      <c r="X2" s="16"/>
      <c r="Y2" s="16"/>
      <c r="Z2" s="2">
        <f>SUM(W2:Y2)</f>
        <v>92871.8</v>
      </c>
      <c r="AH2" s="2"/>
      <c r="AM2" s="18">
        <f>$Z2*O2</f>
        <v>92871.8</v>
      </c>
      <c r="AN2" s="18">
        <f>$Z2*P2</f>
        <v>0</v>
      </c>
      <c r="AO2" s="18">
        <f>$Z2*Q2</f>
        <v>0</v>
      </c>
      <c r="AP2">
        <f>SUM(AM2:AO2)</f>
        <v>92871.8</v>
      </c>
    </row>
    <row r="3" spans="1:44" x14ac:dyDescent="0.45">
      <c r="A3" t="s">
        <v>20</v>
      </c>
      <c r="B3" t="s">
        <v>15</v>
      </c>
      <c r="C3">
        <v>0.2</v>
      </c>
      <c r="D3" s="3">
        <v>3.5000000000000003E-2</v>
      </c>
      <c r="E3">
        <v>0.24</v>
      </c>
      <c r="F3" s="2">
        <v>276879.59999999998</v>
      </c>
      <c r="G3" s="2">
        <v>92871.8</v>
      </c>
      <c r="H3" s="5">
        <v>64.344999999999999</v>
      </c>
      <c r="I3" s="6">
        <v>2</v>
      </c>
      <c r="J3" t="s">
        <v>16</v>
      </c>
      <c r="K3">
        <v>0.1</v>
      </c>
      <c r="L3">
        <v>0.1</v>
      </c>
      <c r="N3">
        <f t="shared" ref="N3:N25" si="0">SUM(K3:M3)</f>
        <v>0.2</v>
      </c>
      <c r="O3">
        <v>0.5</v>
      </c>
      <c r="P3">
        <v>0.5</v>
      </c>
      <c r="R3">
        <f t="shared" ref="R3:R25" si="1">SUM(O3:Q3)</f>
        <v>1</v>
      </c>
      <c r="V3">
        <f t="shared" ref="V3:V25" si="2">SUM(S3:U3)</f>
        <v>0</v>
      </c>
      <c r="W3" s="16">
        <v>46435.9</v>
      </c>
      <c r="X3" s="16">
        <v>46435.9</v>
      </c>
      <c r="Y3" s="16"/>
      <c r="Z3" s="2">
        <f t="shared" ref="Z3:Z25" si="3">SUM(W3:Y3)</f>
        <v>92871.8</v>
      </c>
      <c r="AH3" s="2"/>
      <c r="AM3" s="18">
        <f t="shared" ref="AM3:AO25" si="4">$Z3*O3</f>
        <v>46435.9</v>
      </c>
      <c r="AN3" s="18">
        <f t="shared" si="4"/>
        <v>46435.9</v>
      </c>
      <c r="AO3" s="18">
        <f t="shared" si="4"/>
        <v>0</v>
      </c>
      <c r="AP3">
        <f t="shared" ref="AP3:AP25" si="5">SUM(AM3:AO3)</f>
        <v>92871.8</v>
      </c>
    </row>
    <row r="4" spans="1:44" x14ac:dyDescent="0.45">
      <c r="A4" t="s">
        <v>20</v>
      </c>
      <c r="B4" t="s">
        <v>17</v>
      </c>
      <c r="C4">
        <v>0.2</v>
      </c>
      <c r="D4" s="3">
        <v>3.5000000000000003E-2</v>
      </c>
      <c r="E4">
        <v>0.24</v>
      </c>
      <c r="F4" s="2">
        <v>276879.59999999998</v>
      </c>
      <c r="G4" s="2">
        <v>92871.8</v>
      </c>
      <c r="H4" s="5">
        <v>64.344999999999999</v>
      </c>
      <c r="I4" s="6">
        <v>2</v>
      </c>
      <c r="J4" t="s">
        <v>16</v>
      </c>
      <c r="K4">
        <v>0.1</v>
      </c>
      <c r="L4">
        <v>0.1</v>
      </c>
      <c r="N4">
        <f t="shared" si="0"/>
        <v>0.2</v>
      </c>
      <c r="O4">
        <v>0.5</v>
      </c>
      <c r="P4">
        <v>0.5</v>
      </c>
      <c r="R4">
        <f t="shared" si="1"/>
        <v>1</v>
      </c>
      <c r="V4">
        <f t="shared" si="2"/>
        <v>0</v>
      </c>
      <c r="W4" s="16">
        <v>46435.9</v>
      </c>
      <c r="X4" s="16">
        <v>46435.9</v>
      </c>
      <c r="Y4" s="16"/>
      <c r="Z4" s="2">
        <f t="shared" si="3"/>
        <v>92871.8</v>
      </c>
      <c r="AA4">
        <v>0.5</v>
      </c>
      <c r="AB4">
        <v>0.5</v>
      </c>
      <c r="AH4" s="2"/>
      <c r="AM4" s="18">
        <f t="shared" si="4"/>
        <v>46435.9</v>
      </c>
      <c r="AN4" s="18">
        <f t="shared" si="4"/>
        <v>46435.9</v>
      </c>
      <c r="AO4" s="18">
        <f t="shared" si="4"/>
        <v>0</v>
      </c>
      <c r="AP4">
        <f t="shared" si="5"/>
        <v>92871.8</v>
      </c>
    </row>
    <row r="5" spans="1:44" x14ac:dyDescent="0.45">
      <c r="A5" t="s">
        <v>20</v>
      </c>
      <c r="B5" t="s">
        <v>18</v>
      </c>
      <c r="C5">
        <v>0.2</v>
      </c>
      <c r="D5" s="3">
        <v>3.5000000000000003E-2</v>
      </c>
      <c r="E5">
        <v>0.24</v>
      </c>
      <c r="F5" s="2">
        <v>276879.59999999998</v>
      </c>
      <c r="G5" s="2">
        <v>92871.8</v>
      </c>
      <c r="H5" s="5">
        <v>64.344999999999999</v>
      </c>
      <c r="I5" s="6">
        <v>2</v>
      </c>
      <c r="J5" t="s">
        <v>19</v>
      </c>
      <c r="K5">
        <v>0.1</v>
      </c>
      <c r="L5">
        <v>0.1</v>
      </c>
      <c r="N5">
        <f t="shared" si="0"/>
        <v>0.2</v>
      </c>
      <c r="O5">
        <v>0.5</v>
      </c>
      <c r="P5">
        <v>0.5</v>
      </c>
      <c r="R5">
        <f t="shared" si="1"/>
        <v>1</v>
      </c>
      <c r="S5">
        <v>0.5</v>
      </c>
      <c r="T5">
        <v>0.5</v>
      </c>
      <c r="V5">
        <f t="shared" si="2"/>
        <v>1</v>
      </c>
      <c r="W5" s="16">
        <v>46435.9</v>
      </c>
      <c r="X5" s="16">
        <v>46435.9</v>
      </c>
      <c r="Y5" s="16"/>
      <c r="Z5" s="2">
        <f t="shared" si="3"/>
        <v>92871.8</v>
      </c>
      <c r="AA5">
        <v>0.5</v>
      </c>
      <c r="AB5">
        <v>0.5</v>
      </c>
      <c r="AD5">
        <v>0.5</v>
      </c>
      <c r="AE5">
        <v>0.5</v>
      </c>
      <c r="AG5" s="4"/>
      <c r="AH5" s="3">
        <f>W5/Z5</f>
        <v>0.5</v>
      </c>
      <c r="AI5" s="3">
        <f>X5/Z5</f>
        <v>0.5</v>
      </c>
      <c r="AM5" s="18">
        <f t="shared" si="4"/>
        <v>46435.9</v>
      </c>
      <c r="AN5" s="18">
        <f t="shared" si="4"/>
        <v>46435.9</v>
      </c>
      <c r="AO5" s="18">
        <f t="shared" si="4"/>
        <v>0</v>
      </c>
      <c r="AP5">
        <f t="shared" si="5"/>
        <v>92871.8</v>
      </c>
    </row>
    <row r="6" spans="1:44" x14ac:dyDescent="0.45">
      <c r="A6" s="1" t="s">
        <v>27</v>
      </c>
      <c r="B6" t="s">
        <v>13</v>
      </c>
      <c r="C6" s="4">
        <v>6.1499999999999999E-2</v>
      </c>
      <c r="D6">
        <v>0.4</v>
      </c>
      <c r="E6" s="3">
        <v>0.52800000000000002</v>
      </c>
      <c r="F6" s="2">
        <v>3193820.3</v>
      </c>
      <c r="G6" s="2">
        <v>359781.8</v>
      </c>
      <c r="H6" s="5">
        <v>47.470999999999997</v>
      </c>
      <c r="I6" s="6">
        <v>1</v>
      </c>
      <c r="J6" t="s">
        <v>14</v>
      </c>
      <c r="K6">
        <v>6.1499999999999999E-2</v>
      </c>
      <c r="N6">
        <f>SUM(K6:M6)</f>
        <v>6.1499999999999999E-2</v>
      </c>
      <c r="O6">
        <v>1</v>
      </c>
      <c r="R6">
        <f t="shared" si="1"/>
        <v>1</v>
      </c>
      <c r="V6">
        <f t="shared" si="2"/>
        <v>0</v>
      </c>
      <c r="W6" s="16">
        <v>359781.8</v>
      </c>
      <c r="X6" s="16"/>
      <c r="Y6" s="16"/>
      <c r="Z6" s="2">
        <f t="shared" si="3"/>
        <v>359781.8</v>
      </c>
      <c r="AG6" s="4"/>
      <c r="AH6" s="3"/>
      <c r="AI6" s="3"/>
      <c r="AM6" s="18">
        <f t="shared" si="4"/>
        <v>359781.8</v>
      </c>
      <c r="AN6" s="18">
        <f t="shared" si="4"/>
        <v>0</v>
      </c>
      <c r="AO6" s="18">
        <f t="shared" si="4"/>
        <v>0</v>
      </c>
      <c r="AP6">
        <f t="shared" si="5"/>
        <v>359781.8</v>
      </c>
    </row>
    <row r="7" spans="1:44" x14ac:dyDescent="0.45">
      <c r="A7" t="s">
        <v>21</v>
      </c>
      <c r="B7" t="s">
        <v>15</v>
      </c>
      <c r="C7" s="4">
        <v>6.1499999999999999E-2</v>
      </c>
      <c r="D7">
        <v>0.4</v>
      </c>
      <c r="E7" s="3">
        <v>0.52800000000000002</v>
      </c>
      <c r="F7" s="2">
        <v>3193820.3</v>
      </c>
      <c r="G7" s="2">
        <v>359781.8</v>
      </c>
      <c r="H7" s="5">
        <v>47.470999999999997</v>
      </c>
      <c r="I7" s="6">
        <v>2</v>
      </c>
      <c r="J7" t="s">
        <v>16</v>
      </c>
      <c r="K7">
        <v>3.0800000000000001E-2</v>
      </c>
      <c r="L7">
        <v>3.0800000000000001E-2</v>
      </c>
      <c r="N7">
        <f t="shared" si="0"/>
        <v>6.1600000000000002E-2</v>
      </c>
      <c r="O7">
        <v>0.5</v>
      </c>
      <c r="P7">
        <v>0.5</v>
      </c>
      <c r="R7">
        <f t="shared" si="1"/>
        <v>1</v>
      </c>
      <c r="V7">
        <f t="shared" si="2"/>
        <v>0</v>
      </c>
      <c r="W7" s="16">
        <v>179890.9</v>
      </c>
      <c r="X7" s="16">
        <v>179890.9</v>
      </c>
      <c r="Y7" s="16"/>
      <c r="Z7" s="2">
        <f t="shared" si="3"/>
        <v>359781.8</v>
      </c>
      <c r="AG7" s="4"/>
      <c r="AH7" s="3"/>
      <c r="AI7" s="3"/>
      <c r="AM7" s="18">
        <f t="shared" si="4"/>
        <v>179890.9</v>
      </c>
      <c r="AN7" s="18">
        <f t="shared" si="4"/>
        <v>179890.9</v>
      </c>
      <c r="AO7" s="18">
        <f t="shared" si="4"/>
        <v>0</v>
      </c>
      <c r="AP7">
        <f t="shared" si="5"/>
        <v>359781.8</v>
      </c>
    </row>
    <row r="8" spans="1:44" x14ac:dyDescent="0.45">
      <c r="A8" t="s">
        <v>21</v>
      </c>
      <c r="B8" t="s">
        <v>17</v>
      </c>
      <c r="C8" s="4">
        <v>6.1499999999999999E-2</v>
      </c>
      <c r="D8">
        <v>0.4</v>
      </c>
      <c r="E8" s="3">
        <v>0.52800000000000002</v>
      </c>
      <c r="F8" s="2">
        <v>3193820.3</v>
      </c>
      <c r="G8" s="2">
        <v>359781.8</v>
      </c>
      <c r="H8" s="5">
        <v>47.470999999999997</v>
      </c>
      <c r="I8" s="6">
        <v>2</v>
      </c>
      <c r="J8" t="s">
        <v>16</v>
      </c>
      <c r="K8">
        <v>3.0800000000000001E-2</v>
      </c>
      <c r="L8">
        <v>3.0800000000000001E-2</v>
      </c>
      <c r="N8">
        <f t="shared" si="0"/>
        <v>6.1600000000000002E-2</v>
      </c>
      <c r="O8">
        <v>0.5</v>
      </c>
      <c r="P8">
        <v>0.5</v>
      </c>
      <c r="R8">
        <f t="shared" si="1"/>
        <v>1</v>
      </c>
      <c r="V8">
        <f t="shared" si="2"/>
        <v>0</v>
      </c>
      <c r="W8" s="16">
        <v>179890.9</v>
      </c>
      <c r="X8" s="16">
        <v>179890.9</v>
      </c>
      <c r="Y8" s="16"/>
      <c r="Z8" s="2">
        <f t="shared" si="3"/>
        <v>359781.8</v>
      </c>
      <c r="AA8">
        <v>0.5</v>
      </c>
      <c r="AB8">
        <v>0.5</v>
      </c>
      <c r="AG8" s="4"/>
      <c r="AH8" s="3"/>
      <c r="AI8" s="3"/>
      <c r="AM8" s="18">
        <f t="shared" si="4"/>
        <v>179890.9</v>
      </c>
      <c r="AN8" s="18">
        <f t="shared" si="4"/>
        <v>179890.9</v>
      </c>
      <c r="AO8" s="18">
        <f t="shared" si="4"/>
        <v>0</v>
      </c>
      <c r="AP8">
        <f t="shared" si="5"/>
        <v>359781.8</v>
      </c>
    </row>
    <row r="9" spans="1:44" x14ac:dyDescent="0.45">
      <c r="A9" t="s">
        <v>21</v>
      </c>
      <c r="B9" t="s">
        <v>18</v>
      </c>
      <c r="C9" s="4">
        <v>6.1499999999999999E-2</v>
      </c>
      <c r="D9">
        <v>0.4</v>
      </c>
      <c r="E9" s="3">
        <v>0.52800000000000002</v>
      </c>
      <c r="F9" s="2">
        <v>3193820.3</v>
      </c>
      <c r="G9" s="2">
        <v>359781.8</v>
      </c>
      <c r="H9" s="5">
        <v>47.470999999999997</v>
      </c>
      <c r="I9" s="6">
        <v>2</v>
      </c>
      <c r="J9" t="s">
        <v>19</v>
      </c>
      <c r="K9">
        <v>3.0800000000000001E-2</v>
      </c>
      <c r="L9">
        <v>3.0800000000000001E-2</v>
      </c>
      <c r="N9">
        <f t="shared" si="0"/>
        <v>6.1600000000000002E-2</v>
      </c>
      <c r="O9">
        <v>0.5</v>
      </c>
      <c r="P9">
        <v>0.5</v>
      </c>
      <c r="R9">
        <f t="shared" si="1"/>
        <v>1</v>
      </c>
      <c r="S9">
        <v>0.5</v>
      </c>
      <c r="T9">
        <v>0.5</v>
      </c>
      <c r="V9">
        <f t="shared" si="2"/>
        <v>1</v>
      </c>
      <c r="W9" s="16">
        <v>179890.9</v>
      </c>
      <c r="X9" s="16">
        <v>179890.9</v>
      </c>
      <c r="Y9" s="16"/>
      <c r="Z9" s="2">
        <f t="shared" si="3"/>
        <v>359781.8</v>
      </c>
      <c r="AA9">
        <v>0.5</v>
      </c>
      <c r="AB9">
        <v>0.5</v>
      </c>
      <c r="AD9">
        <v>0.5</v>
      </c>
      <c r="AE9">
        <v>0.5</v>
      </c>
      <c r="AG9" s="4"/>
      <c r="AH9" s="3">
        <f t="shared" ref="AH6:AH25" si="6">W9/Z9</f>
        <v>0.5</v>
      </c>
      <c r="AI9" s="3">
        <f t="shared" ref="AI6:AJ25" si="7">X9/Z9</f>
        <v>0.5</v>
      </c>
      <c r="AM9" s="18">
        <f t="shared" si="4"/>
        <v>179890.9</v>
      </c>
      <c r="AN9" s="18">
        <f t="shared" si="4"/>
        <v>179890.9</v>
      </c>
      <c r="AO9" s="18">
        <f t="shared" si="4"/>
        <v>0</v>
      </c>
      <c r="AP9">
        <f t="shared" si="5"/>
        <v>359781.8</v>
      </c>
    </row>
    <row r="10" spans="1:44" x14ac:dyDescent="0.45">
      <c r="A10" s="1" t="s">
        <v>28</v>
      </c>
      <c r="B10" t="s">
        <v>13</v>
      </c>
      <c r="C10" s="4">
        <v>6.1499999999999999E-2</v>
      </c>
      <c r="D10">
        <v>0.4</v>
      </c>
      <c r="E10" s="3">
        <v>0.52800000000000002</v>
      </c>
      <c r="F10" s="2">
        <v>3193820.3</v>
      </c>
      <c r="G10" s="2">
        <v>359781.8</v>
      </c>
      <c r="H10" s="5">
        <v>47.470999999999997</v>
      </c>
      <c r="I10" s="6">
        <v>1</v>
      </c>
      <c r="J10" t="s">
        <v>14</v>
      </c>
      <c r="K10">
        <v>6.1499999999999999E-2</v>
      </c>
      <c r="N10">
        <f t="shared" si="0"/>
        <v>6.1499999999999999E-2</v>
      </c>
      <c r="O10">
        <v>1</v>
      </c>
      <c r="R10">
        <f t="shared" si="1"/>
        <v>1</v>
      </c>
      <c r="V10">
        <f t="shared" si="2"/>
        <v>0</v>
      </c>
      <c r="W10" s="16">
        <v>359781.8</v>
      </c>
      <c r="X10" s="16"/>
      <c r="Y10" s="16"/>
      <c r="Z10" s="2">
        <f t="shared" si="3"/>
        <v>359781.8</v>
      </c>
      <c r="AG10" s="4"/>
      <c r="AH10" s="3"/>
      <c r="AI10" s="3"/>
      <c r="AM10" s="18">
        <f t="shared" si="4"/>
        <v>359781.8</v>
      </c>
      <c r="AN10" s="18">
        <f t="shared" si="4"/>
        <v>0</v>
      </c>
      <c r="AO10" s="18">
        <f t="shared" si="4"/>
        <v>0</v>
      </c>
      <c r="AP10">
        <f t="shared" si="5"/>
        <v>359781.8</v>
      </c>
    </row>
    <row r="11" spans="1:44" x14ac:dyDescent="0.45">
      <c r="A11" t="s">
        <v>22</v>
      </c>
      <c r="B11" t="s">
        <v>15</v>
      </c>
      <c r="C11" s="4">
        <v>6.1499999999999999E-2</v>
      </c>
      <c r="D11">
        <v>0.4</v>
      </c>
      <c r="E11" s="3">
        <v>0.52800000000000002</v>
      </c>
      <c r="F11" s="2">
        <v>3193820.3</v>
      </c>
      <c r="G11" s="2">
        <v>359781.8</v>
      </c>
      <c r="H11" s="5">
        <v>47.470999999999997</v>
      </c>
      <c r="I11" s="6">
        <v>2</v>
      </c>
      <c r="J11" t="s">
        <v>16</v>
      </c>
      <c r="K11">
        <v>1.23E-2</v>
      </c>
      <c r="L11">
        <v>4.9200000000000001E-2</v>
      </c>
      <c r="N11">
        <f t="shared" si="0"/>
        <v>6.1499999999999999E-2</v>
      </c>
      <c r="O11">
        <v>0.2</v>
      </c>
      <c r="P11">
        <v>0.8</v>
      </c>
      <c r="R11">
        <f t="shared" si="1"/>
        <v>1</v>
      </c>
      <c r="V11">
        <f t="shared" si="2"/>
        <v>0</v>
      </c>
      <c r="W11" s="16">
        <v>71956.399999999994</v>
      </c>
      <c r="X11" s="16">
        <v>287825.5</v>
      </c>
      <c r="Y11" s="16"/>
      <c r="Z11" s="2">
        <f t="shared" si="3"/>
        <v>359781.9</v>
      </c>
      <c r="AG11" s="4"/>
      <c r="AH11" s="3"/>
      <c r="AI11" s="3"/>
      <c r="AM11" s="18">
        <f t="shared" si="4"/>
        <v>71956.38</v>
      </c>
      <c r="AN11" s="18">
        <f t="shared" si="4"/>
        <v>287825.52</v>
      </c>
      <c r="AO11" s="18">
        <f t="shared" si="4"/>
        <v>0</v>
      </c>
      <c r="AP11">
        <f t="shared" si="5"/>
        <v>359781.9</v>
      </c>
    </row>
    <row r="12" spans="1:44" x14ac:dyDescent="0.45">
      <c r="A12" t="s">
        <v>22</v>
      </c>
      <c r="B12" t="s">
        <v>17</v>
      </c>
      <c r="C12" s="4">
        <v>6.1499999999999999E-2</v>
      </c>
      <c r="D12">
        <v>0.4</v>
      </c>
      <c r="E12" s="3">
        <v>0.52800000000000002</v>
      </c>
      <c r="F12" s="2">
        <v>3193820.3</v>
      </c>
      <c r="G12" s="2">
        <v>359781.8</v>
      </c>
      <c r="H12" s="5">
        <v>47.470999999999997</v>
      </c>
      <c r="I12" s="6">
        <v>2</v>
      </c>
      <c r="J12" t="s">
        <v>16</v>
      </c>
      <c r="K12">
        <v>1.23E-2</v>
      </c>
      <c r="L12">
        <v>4.9200000000000001E-2</v>
      </c>
      <c r="N12">
        <f t="shared" si="0"/>
        <v>6.1499999999999999E-2</v>
      </c>
      <c r="O12">
        <v>0.2</v>
      </c>
      <c r="P12">
        <v>0.8</v>
      </c>
      <c r="R12">
        <f t="shared" si="1"/>
        <v>1</v>
      </c>
      <c r="V12">
        <f t="shared" si="2"/>
        <v>0</v>
      </c>
      <c r="W12" s="16">
        <v>71956.399999999994</v>
      </c>
      <c r="X12" s="16">
        <v>287825.5</v>
      </c>
      <c r="Y12" s="16"/>
      <c r="Z12" s="2">
        <f t="shared" si="3"/>
        <v>359781.9</v>
      </c>
      <c r="AA12">
        <v>0.2</v>
      </c>
      <c r="AB12">
        <v>0.8</v>
      </c>
      <c r="AG12" s="4"/>
      <c r="AH12" s="3"/>
      <c r="AI12" s="3"/>
      <c r="AM12" s="18">
        <f t="shared" si="4"/>
        <v>71956.38</v>
      </c>
      <c r="AN12" s="18">
        <f t="shared" si="4"/>
        <v>287825.52</v>
      </c>
      <c r="AO12" s="18">
        <f t="shared" si="4"/>
        <v>0</v>
      </c>
      <c r="AP12">
        <f t="shared" si="5"/>
        <v>359781.9</v>
      </c>
    </row>
    <row r="13" spans="1:44" x14ac:dyDescent="0.45">
      <c r="A13" t="s">
        <v>22</v>
      </c>
      <c r="B13" t="s">
        <v>18</v>
      </c>
      <c r="C13" s="4">
        <v>6.1499999999999999E-2</v>
      </c>
      <c r="D13">
        <v>0.4</v>
      </c>
      <c r="E13" s="3">
        <v>0.52800000000000002</v>
      </c>
      <c r="F13" s="2">
        <v>3193820.3</v>
      </c>
      <c r="G13" s="2">
        <v>359781.8</v>
      </c>
      <c r="H13" s="5">
        <v>47.470999999999997</v>
      </c>
      <c r="I13" s="6">
        <v>2</v>
      </c>
      <c r="J13" t="s">
        <v>19</v>
      </c>
      <c r="K13">
        <v>1.29E-2</v>
      </c>
      <c r="L13">
        <v>4.8599999999999997E-2</v>
      </c>
      <c r="N13">
        <f t="shared" si="0"/>
        <v>6.1499999999999999E-2</v>
      </c>
      <c r="O13">
        <v>0.2</v>
      </c>
      <c r="P13">
        <v>0.8</v>
      </c>
      <c r="R13">
        <f t="shared" si="1"/>
        <v>1</v>
      </c>
      <c r="S13" s="1">
        <v>0.2</v>
      </c>
      <c r="T13" s="1">
        <v>0.8</v>
      </c>
      <c r="V13">
        <f t="shared" si="2"/>
        <v>1</v>
      </c>
      <c r="W13" s="20">
        <v>75363</v>
      </c>
      <c r="X13" s="20">
        <v>284418.90000000002</v>
      </c>
      <c r="Y13" s="20"/>
      <c r="Z13" s="21">
        <f t="shared" si="3"/>
        <v>359781.9</v>
      </c>
      <c r="AA13" s="1">
        <v>0.20899999999999999</v>
      </c>
      <c r="AB13" s="1">
        <v>0.79100000000000004</v>
      </c>
      <c r="AC13" s="1"/>
      <c r="AD13" s="1">
        <v>0.20899999999999999</v>
      </c>
      <c r="AE13" s="1">
        <v>0.79100000000000004</v>
      </c>
      <c r="AF13" s="1"/>
      <c r="AG13" s="13"/>
      <c r="AH13" s="13">
        <f t="shared" si="6"/>
        <v>0.20946856970848171</v>
      </c>
      <c r="AI13" s="13">
        <f t="shared" si="7"/>
        <v>0.79053143029151829</v>
      </c>
      <c r="AJ13" s="1"/>
      <c r="AK13" s="1"/>
      <c r="AL13" s="1"/>
      <c r="AM13" s="19">
        <f t="shared" si="4"/>
        <v>71956.38</v>
      </c>
      <c r="AN13" s="19">
        <f t="shared" si="4"/>
        <v>287825.52</v>
      </c>
      <c r="AO13" s="19">
        <f t="shared" si="4"/>
        <v>0</v>
      </c>
      <c r="AP13">
        <f t="shared" si="5"/>
        <v>359781.9</v>
      </c>
    </row>
    <row r="14" spans="1:44" x14ac:dyDescent="0.45">
      <c r="A14" s="1" t="s">
        <v>29</v>
      </c>
      <c r="B14" t="s">
        <v>13</v>
      </c>
      <c r="C14" s="4">
        <v>6.1499999999999999E-2</v>
      </c>
      <c r="D14">
        <v>0.4</v>
      </c>
      <c r="E14" s="3">
        <v>0.52800000000000002</v>
      </c>
      <c r="F14" s="2">
        <v>3193820.3</v>
      </c>
      <c r="G14" s="2">
        <v>359781.8</v>
      </c>
      <c r="H14" s="5">
        <v>47.470999999999997</v>
      </c>
      <c r="I14" s="6">
        <v>1</v>
      </c>
      <c r="J14" t="s">
        <v>14</v>
      </c>
      <c r="K14">
        <v>6.1499999999999999E-2</v>
      </c>
      <c r="N14">
        <f t="shared" si="0"/>
        <v>6.1499999999999999E-2</v>
      </c>
      <c r="O14">
        <v>1</v>
      </c>
      <c r="R14">
        <f t="shared" si="1"/>
        <v>1</v>
      </c>
      <c r="V14">
        <f t="shared" si="2"/>
        <v>0</v>
      </c>
      <c r="W14" s="16">
        <v>359781.8</v>
      </c>
      <c r="X14" s="16"/>
      <c r="Y14" s="16"/>
      <c r="Z14" s="2">
        <f t="shared" si="3"/>
        <v>359781.8</v>
      </c>
      <c r="AG14" s="4"/>
      <c r="AH14" s="3"/>
      <c r="AI14" s="3"/>
      <c r="AM14" s="18">
        <f t="shared" si="4"/>
        <v>359781.8</v>
      </c>
      <c r="AN14" s="18">
        <f t="shared" si="4"/>
        <v>0</v>
      </c>
      <c r="AO14" s="18">
        <f t="shared" si="4"/>
        <v>0</v>
      </c>
      <c r="AP14">
        <f t="shared" si="5"/>
        <v>359781.8</v>
      </c>
    </row>
    <row r="15" spans="1:44" x14ac:dyDescent="0.45">
      <c r="A15" t="s">
        <v>23</v>
      </c>
      <c r="B15" t="s">
        <v>15</v>
      </c>
      <c r="C15" s="4">
        <v>6.2700000000000006E-2</v>
      </c>
      <c r="D15">
        <v>0.4</v>
      </c>
      <c r="E15" s="3">
        <v>0.52800000000000002</v>
      </c>
      <c r="F15" s="2">
        <v>3193820.2</v>
      </c>
      <c r="G15" s="2">
        <v>363699</v>
      </c>
      <c r="H15" s="5">
        <v>47.988</v>
      </c>
      <c r="I15" s="6">
        <v>2</v>
      </c>
      <c r="J15" t="s">
        <v>16</v>
      </c>
      <c r="K15">
        <v>3.1399999999999997E-2</v>
      </c>
      <c r="L15">
        <v>3.1399999999999997E-2</v>
      </c>
      <c r="N15">
        <f t="shared" si="0"/>
        <v>6.2799999999999995E-2</v>
      </c>
      <c r="O15">
        <v>0.5</v>
      </c>
      <c r="P15">
        <v>0.5</v>
      </c>
      <c r="R15">
        <f t="shared" si="1"/>
        <v>1</v>
      </c>
      <c r="V15">
        <f t="shared" si="2"/>
        <v>0</v>
      </c>
      <c r="W15" s="16">
        <v>183333.4</v>
      </c>
      <c r="X15" s="16">
        <v>180365.6</v>
      </c>
      <c r="Y15" s="16"/>
      <c r="Z15" s="2">
        <f t="shared" si="3"/>
        <v>363699</v>
      </c>
      <c r="AG15" s="4"/>
      <c r="AH15" s="3"/>
      <c r="AI15" s="3"/>
      <c r="AM15" s="18">
        <f t="shared" si="4"/>
        <v>181849.5</v>
      </c>
      <c r="AN15" s="18">
        <f t="shared" si="4"/>
        <v>181849.5</v>
      </c>
      <c r="AO15" s="18">
        <f t="shared" si="4"/>
        <v>0</v>
      </c>
      <c r="AP15">
        <f t="shared" si="5"/>
        <v>363699</v>
      </c>
    </row>
    <row r="16" spans="1:44" x14ac:dyDescent="0.45">
      <c r="A16" t="s">
        <v>23</v>
      </c>
      <c r="B16" t="s">
        <v>17</v>
      </c>
      <c r="C16" s="4">
        <v>6.2700000000000006E-2</v>
      </c>
      <c r="D16">
        <v>0.4</v>
      </c>
      <c r="E16" s="3">
        <v>0.52800000000000002</v>
      </c>
      <c r="F16" s="2">
        <v>3193820.2</v>
      </c>
      <c r="G16" s="2">
        <v>363699</v>
      </c>
      <c r="H16" s="5">
        <v>47.988</v>
      </c>
      <c r="I16" s="6">
        <v>2</v>
      </c>
      <c r="J16" t="s">
        <v>16</v>
      </c>
      <c r="K16">
        <v>3.1399999999999997E-2</v>
      </c>
      <c r="L16">
        <v>3.1399999999999997E-2</v>
      </c>
      <c r="N16">
        <f t="shared" si="0"/>
        <v>6.2799999999999995E-2</v>
      </c>
      <c r="O16">
        <v>0.5</v>
      </c>
      <c r="P16">
        <v>0.5</v>
      </c>
      <c r="R16">
        <f t="shared" si="1"/>
        <v>1</v>
      </c>
      <c r="V16">
        <f t="shared" si="2"/>
        <v>0</v>
      </c>
      <c r="W16" s="16">
        <v>183333.4</v>
      </c>
      <c r="X16" s="16">
        <v>180365.6</v>
      </c>
      <c r="Y16" s="16"/>
      <c r="Z16" s="2">
        <f t="shared" si="3"/>
        <v>363699</v>
      </c>
      <c r="AA16">
        <v>0.5</v>
      </c>
      <c r="AB16">
        <v>0.5</v>
      </c>
      <c r="AG16" s="4"/>
      <c r="AH16" s="3"/>
      <c r="AI16" s="3"/>
      <c r="AM16" s="18">
        <f t="shared" si="4"/>
        <v>181849.5</v>
      </c>
      <c r="AN16" s="18">
        <f t="shared" si="4"/>
        <v>181849.5</v>
      </c>
      <c r="AO16" s="18">
        <f t="shared" si="4"/>
        <v>0</v>
      </c>
      <c r="AP16">
        <f t="shared" si="5"/>
        <v>363699</v>
      </c>
    </row>
    <row r="17" spans="1:42" x14ac:dyDescent="0.45">
      <c r="A17" t="s">
        <v>23</v>
      </c>
      <c r="B17" t="s">
        <v>18</v>
      </c>
      <c r="C17" s="4">
        <v>6.2700000000000006E-2</v>
      </c>
      <c r="D17">
        <v>0.4</v>
      </c>
      <c r="E17" s="3">
        <v>0.52800000000000002</v>
      </c>
      <c r="F17" s="2">
        <v>3193820.2</v>
      </c>
      <c r="G17" s="2">
        <v>363699</v>
      </c>
      <c r="H17" s="5">
        <v>47.988</v>
      </c>
      <c r="I17" s="6">
        <v>2</v>
      </c>
      <c r="J17" t="s">
        <v>19</v>
      </c>
      <c r="K17">
        <v>3.1399999999999997E-2</v>
      </c>
      <c r="L17">
        <v>3.1399999999999997E-2</v>
      </c>
      <c r="N17">
        <f t="shared" si="0"/>
        <v>6.2799999999999995E-2</v>
      </c>
      <c r="O17">
        <v>0.5</v>
      </c>
      <c r="P17">
        <v>0.5</v>
      </c>
      <c r="R17">
        <f t="shared" si="1"/>
        <v>1</v>
      </c>
      <c r="S17" s="1">
        <v>0.5</v>
      </c>
      <c r="T17" s="1">
        <v>0.5</v>
      </c>
      <c r="V17">
        <f t="shared" si="2"/>
        <v>1</v>
      </c>
      <c r="W17" s="20">
        <v>183333.4</v>
      </c>
      <c r="X17" s="20">
        <v>180365.6</v>
      </c>
      <c r="Y17" s="20"/>
      <c r="Z17" s="21">
        <f t="shared" si="3"/>
        <v>363699</v>
      </c>
      <c r="AA17" s="1">
        <v>0.5</v>
      </c>
      <c r="AB17" s="1">
        <v>0.5</v>
      </c>
      <c r="AC17" s="1"/>
      <c r="AD17" s="1">
        <v>0.504</v>
      </c>
      <c r="AE17" s="1">
        <v>0.496</v>
      </c>
      <c r="AF17" s="1"/>
      <c r="AG17" s="13"/>
      <c r="AH17" s="13">
        <f t="shared" si="6"/>
        <v>0.50408002221617321</v>
      </c>
      <c r="AI17" s="13">
        <f t="shared" si="7"/>
        <v>0.49591997778382674</v>
      </c>
      <c r="AJ17" s="1"/>
      <c r="AK17" s="1"/>
      <c r="AL17" s="1"/>
      <c r="AM17" s="19">
        <f t="shared" si="4"/>
        <v>181849.5</v>
      </c>
      <c r="AN17" s="19">
        <f t="shared" si="4"/>
        <v>181849.5</v>
      </c>
      <c r="AO17" s="18">
        <f t="shared" si="4"/>
        <v>0</v>
      </c>
      <c r="AP17">
        <f t="shared" si="5"/>
        <v>363699</v>
      </c>
    </row>
    <row r="18" spans="1:42" x14ac:dyDescent="0.45">
      <c r="A18" s="1" t="s">
        <v>30</v>
      </c>
      <c r="B18" t="s">
        <v>13</v>
      </c>
      <c r="C18" s="4">
        <v>6.1499999999999999E-2</v>
      </c>
      <c r="D18">
        <v>0.4</v>
      </c>
      <c r="E18" s="3">
        <v>0.52800000000000002</v>
      </c>
      <c r="F18" s="2">
        <v>3193820.3</v>
      </c>
      <c r="G18" s="2">
        <v>359781.8</v>
      </c>
      <c r="H18" s="5">
        <v>47.470999999999997</v>
      </c>
      <c r="I18" s="6">
        <v>1</v>
      </c>
      <c r="J18" t="s">
        <v>14</v>
      </c>
      <c r="K18">
        <v>6.1499999999999999E-2</v>
      </c>
      <c r="N18">
        <f t="shared" si="0"/>
        <v>6.1499999999999999E-2</v>
      </c>
      <c r="O18">
        <v>1</v>
      </c>
      <c r="R18">
        <f t="shared" si="1"/>
        <v>1</v>
      </c>
      <c r="V18">
        <f t="shared" si="2"/>
        <v>0</v>
      </c>
      <c r="W18" s="16">
        <v>359781.8</v>
      </c>
      <c r="X18" s="16"/>
      <c r="Y18" s="16"/>
      <c r="Z18" s="2">
        <f t="shared" si="3"/>
        <v>359781.8</v>
      </c>
      <c r="AG18" s="4"/>
      <c r="AH18" s="3"/>
      <c r="AI18" s="3"/>
      <c r="AM18" s="18">
        <f t="shared" si="4"/>
        <v>359781.8</v>
      </c>
      <c r="AN18" s="18">
        <f t="shared" si="4"/>
        <v>0</v>
      </c>
      <c r="AO18" s="18">
        <f t="shared" si="4"/>
        <v>0</v>
      </c>
      <c r="AP18">
        <f t="shared" si="5"/>
        <v>359781.8</v>
      </c>
    </row>
    <row r="19" spans="1:42" x14ac:dyDescent="0.45">
      <c r="A19" t="s">
        <v>24</v>
      </c>
      <c r="B19" t="s">
        <v>15</v>
      </c>
      <c r="C19" s="4">
        <v>6.2199999999999998E-2</v>
      </c>
      <c r="D19">
        <v>0.4</v>
      </c>
      <c r="E19" s="3">
        <v>0.52800000000000002</v>
      </c>
      <c r="F19" s="2">
        <v>3193820.3</v>
      </c>
      <c r="G19" s="2">
        <v>362111.8</v>
      </c>
      <c r="H19" s="5">
        <v>47.779000000000003</v>
      </c>
      <c r="I19" s="6">
        <v>2</v>
      </c>
      <c r="J19" t="s">
        <v>16</v>
      </c>
      <c r="K19">
        <v>4.36E-2</v>
      </c>
      <c r="L19">
        <v>1.8700000000000001E-2</v>
      </c>
      <c r="N19">
        <f t="shared" si="0"/>
        <v>6.2300000000000001E-2</v>
      </c>
      <c r="O19">
        <v>0.7</v>
      </c>
      <c r="P19">
        <v>0.3</v>
      </c>
      <c r="R19">
        <f t="shared" si="1"/>
        <v>1</v>
      </c>
      <c r="V19">
        <f t="shared" si="2"/>
        <v>0</v>
      </c>
      <c r="W19" s="16">
        <v>254711.9</v>
      </c>
      <c r="X19" s="16">
        <v>107399.8</v>
      </c>
      <c r="Y19" s="16"/>
      <c r="Z19" s="2">
        <f t="shared" si="3"/>
        <v>362111.7</v>
      </c>
      <c r="AG19" s="4"/>
      <c r="AH19" s="3"/>
      <c r="AI19" s="3"/>
      <c r="AM19" s="18">
        <f t="shared" si="4"/>
        <v>253478.19</v>
      </c>
      <c r="AN19" s="18">
        <f t="shared" si="4"/>
        <v>108633.51</v>
      </c>
      <c r="AO19" s="18">
        <f t="shared" si="4"/>
        <v>0</v>
      </c>
      <c r="AP19">
        <f t="shared" si="5"/>
        <v>362111.7</v>
      </c>
    </row>
    <row r="20" spans="1:42" x14ac:dyDescent="0.45">
      <c r="A20" t="s">
        <v>24</v>
      </c>
      <c r="B20" t="s">
        <v>17</v>
      </c>
      <c r="C20" s="4">
        <v>6.2199999999999998E-2</v>
      </c>
      <c r="D20">
        <v>0.4</v>
      </c>
      <c r="E20" s="3">
        <v>0.52800000000000002</v>
      </c>
      <c r="F20" s="2">
        <v>3193820.3</v>
      </c>
      <c r="G20" s="2">
        <v>362111.8</v>
      </c>
      <c r="H20" s="5">
        <v>47.779000000000003</v>
      </c>
      <c r="I20" s="6">
        <v>2</v>
      </c>
      <c r="J20" t="s">
        <v>16</v>
      </c>
      <c r="K20">
        <v>4.36E-2</v>
      </c>
      <c r="L20">
        <v>1.8700000000000001E-2</v>
      </c>
      <c r="N20">
        <f t="shared" si="0"/>
        <v>6.2300000000000001E-2</v>
      </c>
      <c r="O20">
        <v>0.7</v>
      </c>
      <c r="P20">
        <v>0.3</v>
      </c>
      <c r="R20">
        <f t="shared" si="1"/>
        <v>1</v>
      </c>
      <c r="V20">
        <f t="shared" si="2"/>
        <v>0</v>
      </c>
      <c r="W20" s="16">
        <v>254711.9</v>
      </c>
      <c r="X20" s="16">
        <v>107399.8</v>
      </c>
      <c r="Y20" s="16"/>
      <c r="Z20" s="2">
        <f t="shared" si="3"/>
        <v>362111.7</v>
      </c>
      <c r="AA20">
        <v>0.7</v>
      </c>
      <c r="AB20">
        <v>0.3</v>
      </c>
      <c r="AG20" s="4"/>
      <c r="AH20" s="3"/>
      <c r="AI20" s="3"/>
      <c r="AM20" s="18">
        <f t="shared" si="4"/>
        <v>253478.19</v>
      </c>
      <c r="AN20" s="18">
        <f t="shared" si="4"/>
        <v>108633.51</v>
      </c>
      <c r="AO20" s="18">
        <f t="shared" si="4"/>
        <v>0</v>
      </c>
      <c r="AP20">
        <f t="shared" si="5"/>
        <v>362111.7</v>
      </c>
    </row>
    <row r="21" spans="1:42" x14ac:dyDescent="0.45">
      <c r="A21" t="s">
        <v>24</v>
      </c>
      <c r="B21" t="s">
        <v>18</v>
      </c>
      <c r="C21" s="4">
        <v>6.2300000000000001E-2</v>
      </c>
      <c r="D21">
        <v>0.4</v>
      </c>
      <c r="E21" s="3">
        <v>0.52800000000000002</v>
      </c>
      <c r="F21" s="2">
        <v>3193820.3</v>
      </c>
      <c r="G21" s="2">
        <v>362208.8</v>
      </c>
      <c r="H21" s="5">
        <v>47.790999999999997</v>
      </c>
      <c r="I21" s="6">
        <v>2</v>
      </c>
      <c r="J21" t="s">
        <v>19</v>
      </c>
      <c r="K21">
        <v>4.2799999999999998E-2</v>
      </c>
      <c r="L21">
        <v>1.95E-2</v>
      </c>
      <c r="N21">
        <f t="shared" si="0"/>
        <v>6.2299999999999994E-2</v>
      </c>
      <c r="O21">
        <v>0.7</v>
      </c>
      <c r="P21">
        <v>0.3</v>
      </c>
      <c r="R21">
        <f t="shared" si="1"/>
        <v>1</v>
      </c>
      <c r="S21" s="1">
        <v>0.7</v>
      </c>
      <c r="T21" s="1">
        <v>0.3</v>
      </c>
      <c r="U21" s="1"/>
      <c r="V21">
        <f t="shared" si="2"/>
        <v>1</v>
      </c>
      <c r="W21" s="20">
        <v>250345.2</v>
      </c>
      <c r="X21" s="20">
        <v>111863.6</v>
      </c>
      <c r="Y21" s="20"/>
      <c r="Z21" s="21">
        <f t="shared" si="3"/>
        <v>362208.80000000005</v>
      </c>
      <c r="AA21" s="1">
        <v>0.68799999999999994</v>
      </c>
      <c r="AB21" s="1">
        <v>0.312</v>
      </c>
      <c r="AC21" s="1"/>
      <c r="AD21" s="1">
        <v>0.69099999999999995</v>
      </c>
      <c r="AE21" s="1">
        <v>0.309</v>
      </c>
      <c r="AF21" s="1"/>
      <c r="AG21" s="13"/>
      <c r="AH21" s="13">
        <f t="shared" si="6"/>
        <v>0.69116266639573631</v>
      </c>
      <c r="AI21" s="13">
        <f t="shared" si="7"/>
        <v>0.30883733360426358</v>
      </c>
      <c r="AJ21" s="1"/>
      <c r="AK21" s="1"/>
      <c r="AL21" s="1"/>
      <c r="AM21" s="19">
        <f t="shared" si="4"/>
        <v>253546.16</v>
      </c>
      <c r="AN21" s="19">
        <f t="shared" si="4"/>
        <v>108662.64000000001</v>
      </c>
      <c r="AO21" s="19">
        <f t="shared" si="4"/>
        <v>0</v>
      </c>
      <c r="AP21" s="1">
        <f t="shared" si="5"/>
        <v>362208.80000000005</v>
      </c>
    </row>
    <row r="22" spans="1:42" x14ac:dyDescent="0.45">
      <c r="A22" s="1" t="s">
        <v>31</v>
      </c>
      <c r="B22" t="s">
        <v>13</v>
      </c>
      <c r="C22" s="4">
        <v>6.1499999999999999E-2</v>
      </c>
      <c r="D22">
        <v>0.4</v>
      </c>
      <c r="E22" s="3">
        <v>0.52800000000000002</v>
      </c>
      <c r="F22" s="2">
        <v>3193820.3</v>
      </c>
      <c r="G22" s="2">
        <v>359781.8</v>
      </c>
      <c r="H22" s="5">
        <v>47.470999999999997</v>
      </c>
      <c r="I22" s="6">
        <v>1</v>
      </c>
      <c r="J22" t="s">
        <v>14</v>
      </c>
      <c r="K22">
        <v>6.1499999999999999E-2</v>
      </c>
      <c r="N22">
        <f t="shared" si="0"/>
        <v>6.1499999999999999E-2</v>
      </c>
      <c r="O22">
        <v>1</v>
      </c>
      <c r="R22">
        <f t="shared" si="1"/>
        <v>1</v>
      </c>
      <c r="V22">
        <f t="shared" si="2"/>
        <v>0</v>
      </c>
      <c r="W22" s="16">
        <v>359781.8</v>
      </c>
      <c r="X22" s="16"/>
      <c r="Y22" s="16"/>
      <c r="Z22" s="2">
        <f t="shared" si="3"/>
        <v>359781.8</v>
      </c>
      <c r="AG22" s="4"/>
      <c r="AH22" s="3"/>
      <c r="AI22" s="3"/>
      <c r="AM22" s="18">
        <f t="shared" si="4"/>
        <v>359781.8</v>
      </c>
      <c r="AN22" s="18">
        <f t="shared" si="4"/>
        <v>0</v>
      </c>
      <c r="AO22" s="18">
        <f t="shared" si="4"/>
        <v>0</v>
      </c>
      <c r="AP22">
        <f t="shared" si="5"/>
        <v>359781.8</v>
      </c>
    </row>
    <row r="23" spans="1:42" x14ac:dyDescent="0.45">
      <c r="A23" t="s">
        <v>25</v>
      </c>
      <c r="B23" t="s">
        <v>15</v>
      </c>
      <c r="C23" s="4">
        <v>6.2100000000000002E-2</v>
      </c>
      <c r="D23">
        <v>0.4</v>
      </c>
      <c r="E23" s="3">
        <v>0.52800000000000002</v>
      </c>
      <c r="F23" s="2">
        <v>3193820.3</v>
      </c>
      <c r="G23" s="2">
        <v>361389.9</v>
      </c>
      <c r="H23" s="5">
        <v>47.683</v>
      </c>
      <c r="I23" s="6">
        <v>3</v>
      </c>
      <c r="J23" t="s">
        <v>16</v>
      </c>
      <c r="K23">
        <v>2.1700000000000001E-2</v>
      </c>
      <c r="L23">
        <v>2.8000000000000001E-2</v>
      </c>
      <c r="M23">
        <v>1.24E-2</v>
      </c>
      <c r="N23">
        <f t="shared" si="0"/>
        <v>6.2100000000000002E-2</v>
      </c>
      <c r="O23">
        <v>0.35</v>
      </c>
      <c r="P23">
        <v>0.45</v>
      </c>
      <c r="Q23">
        <v>0.2</v>
      </c>
      <c r="R23">
        <f t="shared" si="1"/>
        <v>1</v>
      </c>
      <c r="V23">
        <f t="shared" si="2"/>
        <v>0</v>
      </c>
      <c r="W23" s="16">
        <v>127129</v>
      </c>
      <c r="X23" s="16">
        <v>160815.29999999999</v>
      </c>
      <c r="Y23" s="16">
        <v>73445.600000000006</v>
      </c>
      <c r="Z23" s="2">
        <f t="shared" si="3"/>
        <v>361389.9</v>
      </c>
      <c r="AG23" s="4"/>
      <c r="AH23" s="3"/>
      <c r="AI23" s="3"/>
      <c r="AM23" s="18">
        <f t="shared" si="4"/>
        <v>126486.465</v>
      </c>
      <c r="AN23" s="18">
        <f t="shared" si="4"/>
        <v>162625.45500000002</v>
      </c>
      <c r="AO23" s="18">
        <f t="shared" si="4"/>
        <v>72277.98000000001</v>
      </c>
      <c r="AP23">
        <f t="shared" si="5"/>
        <v>361389.9</v>
      </c>
    </row>
    <row r="24" spans="1:42" x14ac:dyDescent="0.45">
      <c r="A24" t="s">
        <v>25</v>
      </c>
      <c r="B24" t="s">
        <v>17</v>
      </c>
      <c r="C24" s="4">
        <v>6.2100000000000002E-2</v>
      </c>
      <c r="D24">
        <v>0.4</v>
      </c>
      <c r="E24" s="3">
        <v>0.52800000000000002</v>
      </c>
      <c r="F24" s="2">
        <v>3193820.3</v>
      </c>
      <c r="G24" s="2">
        <v>361389.9</v>
      </c>
      <c r="H24" s="5">
        <v>47.683</v>
      </c>
      <c r="I24" s="6">
        <v>3</v>
      </c>
      <c r="J24" t="s">
        <v>16</v>
      </c>
      <c r="K24">
        <v>2.1700000000000001E-2</v>
      </c>
      <c r="L24">
        <v>2.8000000000000001E-2</v>
      </c>
      <c r="M24">
        <v>1.24E-2</v>
      </c>
      <c r="N24">
        <f t="shared" si="0"/>
        <v>6.2100000000000002E-2</v>
      </c>
      <c r="O24">
        <v>0.35</v>
      </c>
      <c r="P24">
        <v>0.45</v>
      </c>
      <c r="Q24">
        <v>0.2</v>
      </c>
      <c r="R24">
        <f t="shared" si="1"/>
        <v>1</v>
      </c>
      <c r="V24">
        <f t="shared" si="2"/>
        <v>0</v>
      </c>
      <c r="W24" s="16">
        <v>127129</v>
      </c>
      <c r="X24" s="16">
        <v>160815.29999999999</v>
      </c>
      <c r="Y24" s="16">
        <v>73445.600000000006</v>
      </c>
      <c r="Z24" s="2">
        <f t="shared" si="3"/>
        <v>361389.9</v>
      </c>
      <c r="AA24">
        <v>0.35</v>
      </c>
      <c r="AB24">
        <v>0.45</v>
      </c>
      <c r="AC24">
        <v>0.2</v>
      </c>
      <c r="AG24" s="4"/>
      <c r="AH24" s="3"/>
      <c r="AI24" s="3"/>
      <c r="AM24" s="18">
        <f t="shared" si="4"/>
        <v>126486.465</v>
      </c>
      <c r="AN24" s="18">
        <f t="shared" si="4"/>
        <v>162625.45500000002</v>
      </c>
      <c r="AO24" s="18">
        <f t="shared" si="4"/>
        <v>72277.98000000001</v>
      </c>
      <c r="AP24">
        <f t="shared" si="5"/>
        <v>361389.9</v>
      </c>
    </row>
    <row r="25" spans="1:42" x14ac:dyDescent="0.45">
      <c r="A25" t="s">
        <v>25</v>
      </c>
      <c r="B25" t="s">
        <v>18</v>
      </c>
      <c r="C25" s="4">
        <v>6.2100000000000002E-2</v>
      </c>
      <c r="D25">
        <v>0.4</v>
      </c>
      <c r="E25" s="3">
        <v>0.52800000000000002</v>
      </c>
      <c r="F25" s="2">
        <v>3193820.3</v>
      </c>
      <c r="G25" s="2">
        <v>361334.8</v>
      </c>
      <c r="H25" s="5">
        <v>47.676000000000002</v>
      </c>
      <c r="I25" s="6">
        <v>3</v>
      </c>
      <c r="J25" t="s">
        <v>19</v>
      </c>
      <c r="K25">
        <v>2.1399999999999999E-2</v>
      </c>
      <c r="L25">
        <v>2.7900000000000001E-2</v>
      </c>
      <c r="M25">
        <v>1.2800000000000001E-2</v>
      </c>
      <c r="N25">
        <f t="shared" si="0"/>
        <v>6.2099999999999995E-2</v>
      </c>
      <c r="O25">
        <v>0.35</v>
      </c>
      <c r="P25">
        <v>0.45</v>
      </c>
      <c r="Q25">
        <v>0.2</v>
      </c>
      <c r="R25">
        <f t="shared" si="1"/>
        <v>1</v>
      </c>
      <c r="S25" s="12">
        <v>0.35</v>
      </c>
      <c r="T25" s="1">
        <v>0.45</v>
      </c>
      <c r="U25" s="1">
        <v>0.2</v>
      </c>
      <c r="V25">
        <f t="shared" si="2"/>
        <v>1</v>
      </c>
      <c r="W25" s="20">
        <v>125033.7</v>
      </c>
      <c r="X25" s="20">
        <v>160755.79999999999</v>
      </c>
      <c r="Y25" s="20">
        <v>75545.3</v>
      </c>
      <c r="Z25" s="21">
        <f t="shared" si="3"/>
        <v>361334.8</v>
      </c>
      <c r="AA25" s="1">
        <v>0.34399999999999997</v>
      </c>
      <c r="AB25" s="1">
        <v>0.45</v>
      </c>
      <c r="AC25" s="1">
        <v>0.20599999999999999</v>
      </c>
      <c r="AD25" s="1">
        <v>0.34599999999999997</v>
      </c>
      <c r="AE25" s="1">
        <v>0.44500000000000001</v>
      </c>
      <c r="AF25" s="1">
        <v>0.20899999999999999</v>
      </c>
      <c r="AG25" s="13"/>
      <c r="AH25" s="13">
        <f t="shared" si="6"/>
        <v>0.34603282053098677</v>
      </c>
      <c r="AI25" s="13">
        <f t="shared" si="7"/>
        <v>0.44489431961715281</v>
      </c>
      <c r="AJ25" s="13">
        <f>Y25/Z25</f>
        <v>0.20907285985186039</v>
      </c>
      <c r="AK25" s="1"/>
      <c r="AL25" s="1"/>
      <c r="AM25" s="19">
        <f t="shared" si="4"/>
        <v>126467.18</v>
      </c>
      <c r="AN25" s="19">
        <f t="shared" si="4"/>
        <v>162600.66</v>
      </c>
      <c r="AO25" s="19">
        <f t="shared" si="4"/>
        <v>72266.960000000006</v>
      </c>
      <c r="AP25" s="1">
        <f t="shared" si="5"/>
        <v>361334.8</v>
      </c>
    </row>
    <row r="27" spans="1:42" x14ac:dyDescent="0.45">
      <c r="AM27" t="s">
        <v>53</v>
      </c>
      <c r="AN27" t="s">
        <v>54</v>
      </c>
      <c r="AO27" t="s">
        <v>55</v>
      </c>
      <c r="AP27" t="s">
        <v>56</v>
      </c>
    </row>
  </sheetData>
  <mergeCells count="1">
    <mergeCell ref="AM1:AR1"/>
  </mergeCells>
  <phoneticPr fontId="18" type="noConversion"/>
  <conditionalFormatting sqref="C2:C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multifleet_all_examples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Vania Henriquez</cp:lastModifiedBy>
  <dcterms:created xsi:type="dcterms:W3CDTF">2025-08-09T01:48:06Z</dcterms:created>
  <dcterms:modified xsi:type="dcterms:W3CDTF">2025-08-09T02:16:13Z</dcterms:modified>
</cp:coreProperties>
</file>